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o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Instru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b val="1"/>
      <color rgb="000B2D5B"/>
      <sz val="14"/>
    </font>
    <font>
      <sz val="11"/>
    </font>
    <font>
      <name val="Calibri"/>
      <i val="1"/>
      <color rgb="005D6D7E"/>
      <sz val="10"/>
    </font>
  </fonts>
  <fills count="5">
    <fill>
      <patternFill/>
    </fill>
    <fill>
      <patternFill patternType="gray125"/>
    </fill>
    <fill>
      <patternFill patternType="solid">
        <fgColor rgb="000B2D5B"/>
      </patternFill>
    </fill>
    <fill>
      <patternFill patternType="solid">
        <fgColor rgb="00EAF1F8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Conta</t>
        </is>
      </c>
      <c r="B1" s="1" t="inlineStr">
        <is>
          <t>Bloco</t>
        </is>
      </c>
      <c r="C1" s="1" t="inlineStr">
        <is>
          <t>jan/26</t>
        </is>
      </c>
      <c r="D1" s="1" t="inlineStr">
        <is>
          <t>fev/26</t>
        </is>
      </c>
      <c r="E1" s="1" t="inlineStr">
        <is>
          <t>mar/26</t>
        </is>
      </c>
      <c r="F1" s="1" t="inlineStr">
        <is>
          <t>abr/26</t>
        </is>
      </c>
    </row>
    <row r="2">
      <c r="A2" s="14" t="inlineStr">
        <is>
          <t>RECEITA BRUTA</t>
        </is>
      </c>
      <c r="B2" s="15" t="inlineStr">
        <is>
          <t>TOPLINE</t>
        </is>
      </c>
      <c r="C2" s="16" t="n">
        <v>12871705.71</v>
      </c>
      <c r="D2" s="16" t="n">
        <v>12843532.85</v>
      </c>
      <c r="E2" s="16" t="n">
        <v>11431295.91</v>
      </c>
      <c r="F2" s="16" t="n">
        <v>12314060.5</v>
      </c>
    </row>
    <row r="3">
      <c r="A3" s="17" t="inlineStr">
        <is>
          <t xml:space="preserve">  Receita Bruta de Venda</t>
        </is>
      </c>
      <c r="B3" s="18" t="inlineStr">
        <is>
          <t>DET</t>
        </is>
      </c>
      <c r="C3" s="19" t="n">
        <v>12782782.36</v>
      </c>
      <c r="D3" s="19" t="n">
        <v>12739243.2</v>
      </c>
      <c r="E3" s="19" t="n">
        <v>11326572.19</v>
      </c>
      <c r="F3" s="19" t="n">
        <v>12224796.05</v>
      </c>
    </row>
    <row r="4">
      <c r="A4" s="17" t="inlineStr">
        <is>
          <t xml:space="preserve">  Prestação de Serviços</t>
        </is>
      </c>
      <c r="B4" s="18" t="inlineStr">
        <is>
          <t>DET</t>
        </is>
      </c>
      <c r="C4" s="19" t="n">
        <v>88923.35000000001</v>
      </c>
      <c r="D4" s="19" t="n">
        <v>104289.65</v>
      </c>
      <c r="E4" s="19" t="n">
        <v>104723.72</v>
      </c>
      <c r="F4" s="19" t="n">
        <v>89264.45</v>
      </c>
    </row>
    <row r="5">
      <c r="A5" s="14" t="inlineStr">
        <is>
          <t>(–) DEDUÇÕES DA RECEITA</t>
        </is>
      </c>
      <c r="B5" s="15" t="inlineStr">
        <is>
          <t>DEDUC</t>
        </is>
      </c>
      <c r="C5" s="16" t="n">
        <v>-2205347.34</v>
      </c>
      <c r="D5" s="16" t="n">
        <v>-2032175.04</v>
      </c>
      <c r="E5" s="16" t="n">
        <v>-1804147.49</v>
      </c>
      <c r="F5" s="16" t="n">
        <v>-2067226.58</v>
      </c>
    </row>
    <row r="6">
      <c r="A6" s="17" t="inlineStr">
        <is>
          <t xml:space="preserve">  (–) Cancelamentos/Devoluções</t>
        </is>
      </c>
      <c r="B6" s="18" t="inlineStr">
        <is>
          <t>DET</t>
        </is>
      </c>
      <c r="C6" s="19" t="n">
        <v>-373282.48</v>
      </c>
      <c r="D6" s="19" t="n">
        <v>-182195.63</v>
      </c>
      <c r="E6" s="19" t="n">
        <v>-164240.31</v>
      </c>
      <c r="F6" s="19" t="n">
        <v>-305258.96</v>
      </c>
    </row>
    <row r="7">
      <c r="A7" s="17" t="inlineStr">
        <is>
          <t xml:space="preserve">  (–) ICMS</t>
        </is>
      </c>
      <c r="B7" s="18" t="inlineStr">
        <is>
          <t>DET</t>
        </is>
      </c>
      <c r="C7" s="19" t="n">
        <v>-949118.29</v>
      </c>
      <c r="D7" s="19" t="n">
        <v>-948274.1</v>
      </c>
      <c r="E7" s="19" t="n">
        <v>-784421.08</v>
      </c>
      <c r="F7" s="19" t="n">
        <v>-846711.38</v>
      </c>
    </row>
    <row r="8">
      <c r="A8" s="17" t="inlineStr">
        <is>
          <t xml:space="preserve">  (–) PIS</t>
        </is>
      </c>
      <c r="B8" s="18" t="inlineStr">
        <is>
          <t>DET</t>
        </is>
      </c>
      <c r="C8" s="19" t="n">
        <v>-157123.81</v>
      </c>
      <c r="D8" s="19" t="n">
        <v>-160395.7</v>
      </c>
      <c r="E8" s="19" t="n">
        <v>-152152.47</v>
      </c>
      <c r="F8" s="19" t="n">
        <v>-162887.85</v>
      </c>
    </row>
    <row r="9">
      <c r="A9" s="17" t="inlineStr">
        <is>
          <t xml:space="preserve">  (–) COFINS</t>
        </is>
      </c>
      <c r="B9" s="18" t="inlineStr">
        <is>
          <t>DET</t>
        </is>
      </c>
      <c r="C9" s="19" t="n">
        <v>-723721.4399999999</v>
      </c>
      <c r="D9" s="19" t="n">
        <v>-738791.59</v>
      </c>
      <c r="E9" s="19" t="n">
        <v>-700823.9399999999</v>
      </c>
      <c r="F9" s="19" t="n">
        <v>-750181.28</v>
      </c>
    </row>
    <row r="10">
      <c r="A10" s="17" t="inlineStr">
        <is>
          <t xml:space="preserve">  (–) ISS</t>
        </is>
      </c>
      <c r="B10" s="18" t="inlineStr">
        <is>
          <t>DET</t>
        </is>
      </c>
      <c r="C10" s="19" t="n">
        <v>-2101.32</v>
      </c>
      <c r="D10" s="19" t="n">
        <v>-2518.02</v>
      </c>
      <c r="E10" s="19" t="n">
        <v>-2509.69</v>
      </c>
      <c r="F10" s="19" t="n">
        <v>-2187.11</v>
      </c>
    </row>
    <row r="11">
      <c r="A11" s="5" t="inlineStr">
        <is>
          <t>RECEITA LÍQUIDA (base Excel)</t>
        </is>
      </c>
      <c r="B11" s="6" t="inlineStr">
        <is>
          <t>LIQUIDA</t>
        </is>
      </c>
      <c r="C11" s="7" t="n">
        <v>12498423.23</v>
      </c>
      <c r="D11" s="7" t="n">
        <v>12661337.22</v>
      </c>
      <c r="E11" s="7" t="n">
        <v>11267055.6</v>
      </c>
      <c r="F11" s="7" t="n">
        <v>12008801.54</v>
      </c>
    </row>
    <row r="12">
      <c r="A12" s="14" t="inlineStr">
        <is>
          <t>Outras Receitas Operacionais</t>
        </is>
      </c>
      <c r="B12" s="15" t="inlineStr">
        <is>
          <t>OUTRAS</t>
        </is>
      </c>
      <c r="C12" s="16" t="n">
        <v>47063.76</v>
      </c>
      <c r="D12" s="16" t="n">
        <v>86398.38</v>
      </c>
      <c r="E12" s="16" t="n">
        <v>19869.48</v>
      </c>
      <c r="F12" s="16" t="n">
        <v>114562.54</v>
      </c>
    </row>
    <row r="13">
      <c r="A13" s="14" t="inlineStr">
        <is>
          <t>(–) CMV</t>
        </is>
      </c>
      <c r="B13" s="15" t="inlineStr">
        <is>
          <t>CMV</t>
        </is>
      </c>
      <c r="C13" s="16" t="n">
        <v>-8258635.45</v>
      </c>
      <c r="D13" s="16" t="n">
        <v>-8317333.2</v>
      </c>
      <c r="E13" s="16" t="n">
        <v>-7334310.67</v>
      </c>
      <c r="F13" s="16" t="n">
        <v>-8176386.81</v>
      </c>
    </row>
    <row r="14">
      <c r="A14" s="17" t="inlineStr">
        <is>
          <t xml:space="preserve">  Custo das Mercadorias Revendidas</t>
        </is>
      </c>
      <c r="B14" s="18" t="inlineStr">
        <is>
          <t>DET</t>
        </is>
      </c>
      <c r="C14" s="19" t="n">
        <v>-8357730.15</v>
      </c>
      <c r="D14" s="19" t="n">
        <v>-8308272.53</v>
      </c>
      <c r="E14" s="19" t="n">
        <v>-7337751.47</v>
      </c>
      <c r="F14" s="19" t="n">
        <v>-8266240.14</v>
      </c>
    </row>
    <row r="15">
      <c r="A15" s="17" t="inlineStr">
        <is>
          <t xml:space="preserve">  Custo das Bonificações</t>
        </is>
      </c>
      <c r="B15" s="18" t="inlineStr">
        <is>
          <t>DET</t>
        </is>
      </c>
      <c r="C15" s="19" t="n">
        <v>-127703.06</v>
      </c>
      <c r="D15" s="19" t="n">
        <v>-130222.49</v>
      </c>
      <c r="E15" s="19" t="n">
        <v>-97993.27</v>
      </c>
      <c r="F15" s="19" t="n">
        <v>-90209.2</v>
      </c>
    </row>
    <row r="16">
      <c r="A16" s="17" t="inlineStr">
        <is>
          <t xml:space="preserve">  Custo Médio das Devoluções</t>
        </is>
      </c>
      <c r="B16" s="18" t="inlineStr">
        <is>
          <t>DET</t>
        </is>
      </c>
      <c r="C16" s="19" t="n">
        <v>226797.76</v>
      </c>
      <c r="D16" s="19" t="n">
        <v>121161.82</v>
      </c>
      <c r="E16" s="19" t="n">
        <v>101434.07</v>
      </c>
      <c r="F16" s="19" t="n">
        <v>181800.4</v>
      </c>
    </row>
    <row r="17">
      <c r="A17" s="5" t="inlineStr">
        <is>
          <t>► MARGEM 1</t>
        </is>
      </c>
      <c r="B17" s="6" t="inlineStr">
        <is>
          <t>MG1</t>
        </is>
      </c>
      <c r="C17" s="7" t="n">
        <v>2454786.68</v>
      </c>
      <c r="D17" s="7" t="n">
        <v>2580422.99</v>
      </c>
      <c r="E17" s="7" t="n">
        <v>2312707.23</v>
      </c>
      <c r="F17" s="7" t="n">
        <v>2186747.52</v>
      </c>
    </row>
    <row r="18">
      <c r="A18" s="14" t="inlineStr">
        <is>
          <t>(±) Outros Custos / Verbas</t>
        </is>
      </c>
      <c r="B18" s="15" t="inlineStr">
        <is>
          <t>OUTROS</t>
        </is>
      </c>
      <c r="C18" s="16" t="n">
        <v>16101.18</v>
      </c>
      <c r="D18" s="16" t="n">
        <v>39636.57</v>
      </c>
      <c r="E18" s="16" t="n">
        <v>-95516.35000000001</v>
      </c>
      <c r="F18" s="16" t="n">
        <v>111587.08</v>
      </c>
    </row>
    <row r="19">
      <c r="A19" s="17" t="inlineStr">
        <is>
          <t xml:space="preserve">  Custo de Perdas/Avarias</t>
        </is>
      </c>
      <c r="B19" s="18" t="inlineStr">
        <is>
          <t>DET</t>
        </is>
      </c>
      <c r="C19" s="19" t="n">
        <v>-37166.01</v>
      </c>
      <c r="D19" s="19" t="n">
        <v>-40967.82</v>
      </c>
      <c r="E19" s="19" t="n">
        <v>-32647.38</v>
      </c>
      <c r="F19" s="19" t="n">
        <v>94101.28</v>
      </c>
    </row>
    <row r="20">
      <c r="A20" s="17" t="inlineStr">
        <is>
          <t xml:space="preserve">  Custo de Inventário</t>
        </is>
      </c>
      <c r="B20" s="18" t="inlineStr">
        <is>
          <t>DET</t>
        </is>
      </c>
      <c r="C20" s="19" t="n">
        <v>-24385.65</v>
      </c>
      <c r="D20" s="19" t="n">
        <v>-56708.08</v>
      </c>
      <c r="E20" s="19" t="n">
        <v>-1137.57</v>
      </c>
      <c r="F20" s="19" t="n">
        <v>-95405.87</v>
      </c>
    </row>
    <row r="21">
      <c r="A21" s="17" t="inlineStr">
        <is>
          <t xml:space="preserve">  (+) Verbas Recebidas</t>
        </is>
      </c>
      <c r="B21" s="18" t="inlineStr">
        <is>
          <t>DET</t>
        </is>
      </c>
      <c r="C21" s="19" t="n">
        <v>422760.29</v>
      </c>
      <c r="D21" s="19" t="n">
        <v>695930.04</v>
      </c>
      <c r="E21" s="19" t="n">
        <v>509714.89</v>
      </c>
      <c r="F21" s="19" t="n">
        <v>520449.16</v>
      </c>
    </row>
    <row r="22">
      <c r="A22" s="17" t="inlineStr">
        <is>
          <t xml:space="preserve">  (+) Provisão de Verbas</t>
        </is>
      </c>
      <c r="B22" s="18" t="inlineStr">
        <is>
          <t>DET</t>
        </is>
      </c>
      <c r="C22" s="19" t="n">
        <v>389100</v>
      </c>
      <c r="D22" s="19" t="n">
        <v>82000</v>
      </c>
      <c r="E22" s="19" t="n">
        <v>0</v>
      </c>
      <c r="F22" s="19" t="n">
        <v>0</v>
      </c>
    </row>
    <row r="23">
      <c r="A23" s="17" t="inlineStr">
        <is>
          <t xml:space="preserve">  (–) Estorno de Provisão</t>
        </is>
      </c>
      <c r="B23" s="18" t="inlineStr">
        <is>
          <t>DET</t>
        </is>
      </c>
      <c r="C23" s="19" t="n">
        <v>-140000</v>
      </c>
      <c r="D23" s="19" t="n">
        <v>-217005.79</v>
      </c>
      <c r="E23" s="19" t="n">
        <v>-61994.2</v>
      </c>
      <c r="F23" s="19" t="n">
        <v>-25000</v>
      </c>
    </row>
    <row r="24">
      <c r="A24" s="17" t="inlineStr">
        <is>
          <t xml:space="preserve">  (–) Descontos – Acordo Comercial</t>
        </is>
      </c>
      <c r="B24" s="18" t="inlineStr">
        <is>
          <t>DET</t>
        </is>
      </c>
      <c r="C24" s="19" t="n">
        <v>-594207.45</v>
      </c>
      <c r="D24" s="19" t="n">
        <v>-423611.78</v>
      </c>
      <c r="E24" s="19" t="n">
        <v>-509348.56</v>
      </c>
      <c r="F24" s="19" t="n">
        <v>-382124.21</v>
      </c>
    </row>
    <row r="25">
      <c r="A25" s="5" t="inlineStr">
        <is>
          <t>► RESULTADO BRUTO</t>
        </is>
      </c>
      <c r="B25" s="6" t="inlineStr">
        <is>
          <t>RES_BRUTO</t>
        </is>
      </c>
      <c r="C25" s="7" t="n">
        <v>2470887.86</v>
      </c>
      <c r="D25" s="7" t="n">
        <v>2620059.56</v>
      </c>
      <c r="E25" s="7" t="n">
        <v>2217190.88</v>
      </c>
      <c r="F25" s="7" t="n">
        <v>2298334.6</v>
      </c>
    </row>
    <row r="26">
      <c r="A26" s="14" t="inlineStr">
        <is>
          <t>(–) DESPESAS COMERCIAIS</t>
        </is>
      </c>
      <c r="B26" s="15" t="inlineStr">
        <is>
          <t>COMERCIAL</t>
        </is>
      </c>
      <c r="C26" s="16" t="n">
        <v>-971118.1</v>
      </c>
      <c r="D26" s="16" t="n">
        <v>-1120294.92</v>
      </c>
      <c r="E26" s="16" t="n">
        <v>-1154399.99</v>
      </c>
      <c r="F26" s="16" t="n">
        <v>-1072672.41</v>
      </c>
    </row>
    <row r="27">
      <c r="A27" s="17" t="inlineStr">
        <is>
          <t xml:space="preserve">  Pessoal Comercial Varejo</t>
        </is>
      </c>
      <c r="B27" s="18" t="inlineStr">
        <is>
          <t>DET</t>
        </is>
      </c>
      <c r="C27" s="19" t="n">
        <v>-255025.04</v>
      </c>
      <c r="D27" s="19" t="n">
        <v>-320595.89</v>
      </c>
      <c r="E27" s="19" t="n">
        <v>-332996.56</v>
      </c>
      <c r="F27" s="19" t="n">
        <v>-301005.65</v>
      </c>
    </row>
    <row r="28">
      <c r="A28" s="17" t="inlineStr">
        <is>
          <t xml:space="preserve">  Despesas Comerciais Gerais</t>
        </is>
      </c>
      <c r="B28" s="18" t="inlineStr">
        <is>
          <t>DET</t>
        </is>
      </c>
      <c r="C28" s="19" t="n">
        <v>-620037.72</v>
      </c>
      <c r="D28" s="19" t="n">
        <v>-697641.46</v>
      </c>
      <c r="E28" s="19" t="n">
        <v>-714553.96</v>
      </c>
      <c r="F28" s="19" t="n">
        <v>-673601.4</v>
      </c>
    </row>
    <row r="29">
      <c r="A29" s="17" t="inlineStr">
        <is>
          <t xml:space="preserve">  Despesas com Veículos</t>
        </is>
      </c>
      <c r="B29" s="18" t="inlineStr">
        <is>
          <t>DET</t>
        </is>
      </c>
      <c r="C29" s="19" t="n">
        <v>-62066.88</v>
      </c>
      <c r="D29" s="19" t="n">
        <v>-67890.87</v>
      </c>
      <c r="E29" s="19" t="n">
        <v>-82136.25</v>
      </c>
      <c r="F29" s="19" t="n">
        <v>-88141.92999999999</v>
      </c>
    </row>
    <row r="30">
      <c r="A30" s="17" t="inlineStr">
        <is>
          <t xml:space="preserve">  Outras Despesas de Vendas</t>
        </is>
      </c>
      <c r="B30" s="18" t="inlineStr">
        <is>
          <t>DET</t>
        </is>
      </c>
      <c r="C30" s="19" t="n">
        <v>-237366.66</v>
      </c>
      <c r="D30" s="19" t="n">
        <v>-319161.16</v>
      </c>
      <c r="E30" s="19" t="n">
        <v>-322176.07</v>
      </c>
      <c r="F30" s="19" t="n">
        <v>-327419.4</v>
      </c>
    </row>
    <row r="31">
      <c r="A31" s="14" t="inlineStr">
        <is>
          <t>(–) DESPESAS COM LOGÍSTICA</t>
        </is>
      </c>
      <c r="B31" s="15" t="inlineStr">
        <is>
          <t>LOGISTICA</t>
        </is>
      </c>
      <c r="C31" s="16" t="n">
        <v>-848972.4</v>
      </c>
      <c r="D31" s="16" t="n">
        <v>-874499.36</v>
      </c>
      <c r="E31" s="16" t="n">
        <v>-848331.84</v>
      </c>
      <c r="F31" s="16" t="n">
        <v>-800288.27</v>
      </c>
    </row>
    <row r="32">
      <c r="A32" s="17" t="inlineStr">
        <is>
          <t xml:space="preserve">  Logística Operacional</t>
        </is>
      </c>
      <c r="B32" s="18" t="inlineStr">
        <is>
          <t>DET</t>
        </is>
      </c>
      <c r="C32" s="19" t="n">
        <v>-794062.89</v>
      </c>
      <c r="D32" s="19" t="n">
        <v>-815058.3</v>
      </c>
      <c r="E32" s="19" t="n">
        <v>-782211.41</v>
      </c>
      <c r="F32" s="19" t="n">
        <v>-734800.28</v>
      </c>
    </row>
    <row r="33">
      <c r="A33" s="17" t="inlineStr">
        <is>
          <t xml:space="preserve">  Pessoal de Logística</t>
        </is>
      </c>
      <c r="B33" s="18" t="inlineStr">
        <is>
          <t>DET</t>
        </is>
      </c>
      <c r="C33" s="19" t="n">
        <v>-54909.51</v>
      </c>
      <c r="D33" s="19" t="n">
        <v>-59441.06</v>
      </c>
      <c r="E33" s="19" t="n">
        <v>-66120.42999999999</v>
      </c>
      <c r="F33" s="19" t="n">
        <v>-65487.99</v>
      </c>
    </row>
    <row r="34">
      <c r="A34" s="14" t="inlineStr">
        <is>
          <t>(–) DESPESAS ADMINISTRATIVAS</t>
        </is>
      </c>
      <c r="B34" s="15" t="inlineStr">
        <is>
          <t>ADM</t>
        </is>
      </c>
      <c r="C34" s="16" t="n">
        <v>-561259.92</v>
      </c>
      <c r="D34" s="16" t="n">
        <v>-550480.26</v>
      </c>
      <c r="E34" s="16" t="n">
        <v>-562832.67</v>
      </c>
      <c r="F34" s="16" t="n">
        <v>-581180.09</v>
      </c>
    </row>
    <row r="35">
      <c r="A35" s="17" t="inlineStr">
        <is>
          <t xml:space="preserve">  Diretoria</t>
        </is>
      </c>
      <c r="B35" s="18" t="inlineStr">
        <is>
          <t>DET</t>
        </is>
      </c>
      <c r="C35" s="19" t="n">
        <v>-49461.65</v>
      </c>
      <c r="D35" s="19" t="n">
        <v>-50026.92</v>
      </c>
      <c r="E35" s="19" t="n">
        <v>-52655.07</v>
      </c>
      <c r="F35" s="19" t="n">
        <v>-52868.43</v>
      </c>
    </row>
    <row r="36">
      <c r="A36" s="17" t="inlineStr">
        <is>
          <t xml:space="preserve">  Pessoal Administrativo</t>
        </is>
      </c>
      <c r="B36" s="18" t="inlineStr">
        <is>
          <t>DET</t>
        </is>
      </c>
      <c r="C36" s="19" t="n">
        <v>-109694.85</v>
      </c>
      <c r="D36" s="19" t="n">
        <v>-142776.07</v>
      </c>
      <c r="E36" s="19" t="n">
        <v>-135280.82</v>
      </c>
      <c r="F36" s="19" t="n">
        <v>-129934.98</v>
      </c>
    </row>
    <row r="37">
      <c r="A37" s="17" t="inlineStr">
        <is>
          <t xml:space="preserve">  Despesas Adm. Gerais</t>
        </is>
      </c>
      <c r="B37" s="18" t="inlineStr">
        <is>
          <t>DET</t>
        </is>
      </c>
      <c r="C37" s="19" t="n">
        <v>-402103.42</v>
      </c>
      <c r="D37" s="19" t="n">
        <v>-357677.27</v>
      </c>
      <c r="E37" s="19" t="n">
        <v>-374896.78</v>
      </c>
      <c r="F37" s="19" t="n">
        <v>-398376.68</v>
      </c>
    </row>
    <row r="38">
      <c r="A38" s="17" t="inlineStr">
        <is>
          <t xml:space="preserve">  Informática</t>
        </is>
      </c>
      <c r="B38" s="18" t="inlineStr">
        <is>
          <t>DET</t>
        </is>
      </c>
      <c r="C38" s="19" t="n">
        <v>-70529.27</v>
      </c>
      <c r="D38" s="19" t="n">
        <v>-70195.41</v>
      </c>
      <c r="E38" s="19" t="n">
        <v>-76548.92</v>
      </c>
      <c r="F38" s="19" t="n">
        <v>-57243.88</v>
      </c>
    </row>
    <row r="39">
      <c r="A39" s="17" t="inlineStr">
        <is>
          <t xml:space="preserve">  Assessoria</t>
        </is>
      </c>
      <c r="B39" s="18" t="inlineStr">
        <is>
          <t>DET</t>
        </is>
      </c>
      <c r="C39" s="19" t="n">
        <v>-105577.6</v>
      </c>
      <c r="D39" s="19" t="n">
        <v>-77693.42999999999</v>
      </c>
      <c r="E39" s="19" t="n">
        <v>-77871.64</v>
      </c>
      <c r="F39" s="19" t="n">
        <v>-78530.03</v>
      </c>
    </row>
    <row r="40">
      <c r="A40" s="17" t="inlineStr">
        <is>
          <t xml:space="preserve">  Impostos e Taxas</t>
        </is>
      </c>
      <c r="B40" s="18" t="inlineStr">
        <is>
          <t>DET</t>
        </is>
      </c>
      <c r="C40" s="19" t="n">
        <v>-10810.85</v>
      </c>
      <c r="D40" s="19" t="n">
        <v>-8757.75</v>
      </c>
      <c r="E40" s="19" t="n">
        <v>-5684.32</v>
      </c>
      <c r="F40" s="19" t="n">
        <v>-1936.87</v>
      </c>
    </row>
    <row r="41">
      <c r="A41" s="5" t="inlineStr">
        <is>
          <t>► EBITDA</t>
        </is>
      </c>
      <c r="B41" s="6" t="inlineStr">
        <is>
          <t>EBITDA</t>
        </is>
      </c>
      <c r="C41" s="7" t="n">
        <v>116071.62</v>
      </c>
      <c r="D41" s="7" t="n">
        <v>101540.34</v>
      </c>
      <c r="E41" s="7" t="n">
        <v>-321370.27</v>
      </c>
      <c r="F41" s="7" t="n">
        <v>-121205.78</v>
      </c>
    </row>
    <row r="42">
      <c r="A42" s="14" t="inlineStr">
        <is>
          <t>(+) RECEITAS FINANCEIRAS</t>
        </is>
      </c>
      <c r="B42" s="15" t="inlineStr">
        <is>
          <t>REC_FIN</t>
        </is>
      </c>
      <c r="C42" s="16" t="n">
        <v>87011.75999999999</v>
      </c>
      <c r="D42" s="16" t="n">
        <v>53495.34</v>
      </c>
      <c r="E42" s="16" t="n">
        <v>46594.73</v>
      </c>
      <c r="F42" s="16" t="n">
        <v>38304.46</v>
      </c>
    </row>
    <row r="43">
      <c r="A43" s="17" t="inlineStr">
        <is>
          <t xml:space="preserve">  Juros Recebidos</t>
        </is>
      </c>
      <c r="B43" s="18" t="inlineStr">
        <is>
          <t>DET</t>
        </is>
      </c>
      <c r="C43" s="19" t="n">
        <v>18493.25</v>
      </c>
      <c r="D43" s="19" t="n">
        <v>13826.99</v>
      </c>
      <c r="E43" s="19" t="n">
        <v>23262.03</v>
      </c>
      <c r="F43" s="19" t="n">
        <v>24315.3</v>
      </c>
    </row>
    <row r="44">
      <c r="A44" s="17" t="inlineStr">
        <is>
          <t xml:space="preserve">  Rendimentos de Aplicações</t>
        </is>
      </c>
      <c r="B44" s="18" t="inlineStr">
        <is>
          <t>DET</t>
        </is>
      </c>
      <c r="C44" s="19" t="n">
        <v>71004.92</v>
      </c>
      <c r="D44" s="19" t="n">
        <v>39109.25</v>
      </c>
      <c r="E44" s="19" t="n">
        <v>23025.8</v>
      </c>
      <c r="F44" s="19" t="n">
        <v>15324.59</v>
      </c>
    </row>
    <row r="45">
      <c r="A45" s="14" t="inlineStr">
        <is>
          <t>(–) DESPESAS FINANCEIRAS</t>
        </is>
      </c>
      <c r="B45" s="15" t="inlineStr">
        <is>
          <t>DESP_FIN</t>
        </is>
      </c>
      <c r="C45" s="16" t="n">
        <v>-135797.7</v>
      </c>
      <c r="D45" s="16" t="n">
        <v>-106234.52</v>
      </c>
      <c r="E45" s="16" t="n">
        <v>-75461.59</v>
      </c>
      <c r="F45" s="16" t="n">
        <v>-150614.66</v>
      </c>
    </row>
    <row r="46">
      <c r="A46" s="17" t="inlineStr">
        <is>
          <t xml:space="preserve">  Juros sobre Empréstimos</t>
        </is>
      </c>
      <c r="B46" s="18" t="inlineStr">
        <is>
          <t>DET</t>
        </is>
      </c>
      <c r="C46" s="19" t="n">
        <v>-128723.4</v>
      </c>
      <c r="D46" s="19" t="n">
        <v>-86421.28999999999</v>
      </c>
      <c r="E46" s="19" t="n">
        <v>-68615.38</v>
      </c>
      <c r="F46" s="19" t="n">
        <v>-142553.34</v>
      </c>
    </row>
    <row r="47">
      <c r="A47" s="17" t="inlineStr">
        <is>
          <t xml:space="preserve">  Tarifas Bancárias</t>
        </is>
      </c>
      <c r="B47" s="18" t="inlineStr">
        <is>
          <t>DET</t>
        </is>
      </c>
      <c r="C47" s="19" t="n">
        <v>-840.96</v>
      </c>
      <c r="D47" s="19" t="n">
        <v>-741.13</v>
      </c>
      <c r="E47" s="19" t="n">
        <v>-1604.76</v>
      </c>
      <c r="F47" s="19" t="n">
        <v>-944.91</v>
      </c>
    </row>
    <row r="48">
      <c r="A48" s="17" t="inlineStr">
        <is>
          <t xml:space="preserve">  Tarifas de Cobrança</t>
        </is>
      </c>
      <c r="B48" s="18" t="inlineStr">
        <is>
          <t>DET</t>
        </is>
      </c>
      <c r="C48" s="19" t="n">
        <v>-6140.58</v>
      </c>
      <c r="D48" s="19" t="n">
        <v>-5355.7</v>
      </c>
      <c r="E48" s="19" t="n">
        <v>-5145.81</v>
      </c>
      <c r="F48" s="19" t="n">
        <v>-6813.21</v>
      </c>
    </row>
    <row r="49">
      <c r="A49" s="17" t="inlineStr">
        <is>
          <t xml:space="preserve">  IOF / Outros</t>
        </is>
      </c>
      <c r="B49" s="18" t="inlineStr">
        <is>
          <t>DET</t>
        </is>
      </c>
      <c r="C49" s="19" t="n">
        <v>-92.76000000000001</v>
      </c>
      <c r="D49" s="19" t="n">
        <v>-13716.4</v>
      </c>
      <c r="E49" s="19" t="n">
        <v>-95.64</v>
      </c>
      <c r="F49" s="19" t="n">
        <v>-303.2</v>
      </c>
    </row>
    <row r="50">
      <c r="A50" s="5" t="inlineStr">
        <is>
          <t>► RESULTADO LÍQUIDO</t>
        </is>
      </c>
      <c r="B50" s="6" t="inlineStr">
        <is>
          <t>LUCRO</t>
        </is>
      </c>
      <c r="C50" s="7" t="n">
        <v>40751.5</v>
      </c>
      <c r="D50" s="7" t="n">
        <v>22045.84</v>
      </c>
      <c r="E50" s="7" t="n">
        <v>-377240.48</v>
      </c>
      <c r="F50" s="7" t="n">
        <v>-268116.37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Conta</t>
        </is>
      </c>
      <c r="B1" s="1" t="inlineStr">
        <is>
          <t>Grupo</t>
        </is>
      </c>
      <c r="C1" s="1" t="inlineStr">
        <is>
          <t>jan/26</t>
        </is>
      </c>
      <c r="D1" s="1" t="inlineStr">
        <is>
          <t>fev/26</t>
        </is>
      </c>
      <c r="E1" s="1" t="inlineStr">
        <is>
          <t>mar/26</t>
        </is>
      </c>
      <c r="F1" s="1" t="inlineStr">
        <is>
          <t>abr/26</t>
        </is>
      </c>
    </row>
    <row r="2">
      <c r="A2" s="2" t="inlineStr">
        <is>
          <t>Caixa e Equivalentes</t>
        </is>
      </c>
      <c r="B2" s="3" t="inlineStr">
        <is>
          <t>AC</t>
        </is>
      </c>
      <c r="C2" s="4" t="n">
        <v>4752482.95</v>
      </c>
      <c r="D2" s="4" t="n">
        <v>3869824.36</v>
      </c>
      <c r="E2" s="4" t="n">
        <v>2775156.73</v>
      </c>
      <c r="F2" s="4" t="n">
        <v>4594491.16</v>
      </c>
    </row>
    <row r="3">
      <c r="A3" s="2" t="inlineStr">
        <is>
          <t>Clientes</t>
        </is>
      </c>
      <c r="B3" s="3" t="inlineStr">
        <is>
          <t>AC</t>
        </is>
      </c>
      <c r="C3" s="4" t="n">
        <v>16830867.45</v>
      </c>
      <c r="D3" s="4" t="n">
        <v>17826995.6</v>
      </c>
      <c r="E3" s="4" t="n">
        <v>15441556.73</v>
      </c>
      <c r="F3" s="4" t="n">
        <v>13629988.37</v>
      </c>
    </row>
    <row r="4">
      <c r="A4" s="2" t="inlineStr">
        <is>
          <t>Títulos a Receber</t>
        </is>
      </c>
      <c r="B4" s="3" t="inlineStr">
        <is>
          <t>AC</t>
        </is>
      </c>
      <c r="C4" s="4" t="n">
        <v>345498.63</v>
      </c>
      <c r="D4" s="4" t="n">
        <v>452574.1</v>
      </c>
      <c r="E4" s="4" t="n">
        <v>551401.83</v>
      </c>
      <c r="F4" s="4" t="n">
        <v>594762.03</v>
      </c>
    </row>
    <row r="5">
      <c r="A5" s="2" t="inlineStr">
        <is>
          <t>Adiantamentos</t>
        </is>
      </c>
      <c r="B5" s="3" t="inlineStr">
        <is>
          <t>AC</t>
        </is>
      </c>
      <c r="C5" s="4" t="n">
        <v>1214407.69</v>
      </c>
      <c r="D5" s="4" t="n">
        <v>1290927.24</v>
      </c>
      <c r="E5" s="4" t="n">
        <v>1339631.49</v>
      </c>
      <c r="F5" s="4" t="n">
        <v>1432502.42</v>
      </c>
    </row>
    <row r="6">
      <c r="A6" s="2" t="inlineStr">
        <is>
          <t>Consórcios</t>
        </is>
      </c>
      <c r="B6" s="3" t="inlineStr">
        <is>
          <t>AC</t>
        </is>
      </c>
      <c r="C6" s="4" t="n">
        <v>94359.89999999999</v>
      </c>
      <c r="D6" s="4" t="n">
        <v>299801.16</v>
      </c>
      <c r="E6" s="4" t="n">
        <v>311339.88</v>
      </c>
      <c r="F6" s="4" t="n">
        <v>324363.14</v>
      </c>
    </row>
    <row r="7">
      <c r="A7" s="2" t="inlineStr">
        <is>
          <t>Impostos a Recuperar</t>
        </is>
      </c>
      <c r="B7" s="3" t="inlineStr">
        <is>
          <t>AC</t>
        </is>
      </c>
      <c r="C7" s="4" t="n">
        <v>546202.51</v>
      </c>
      <c r="D7" s="4" t="n">
        <v>559900.03</v>
      </c>
      <c r="E7" s="4" t="n">
        <v>568492.67</v>
      </c>
      <c r="F7" s="4" t="n">
        <v>1525077.91</v>
      </c>
    </row>
    <row r="8">
      <c r="A8" s="2" t="inlineStr">
        <is>
          <t>Estoques</t>
        </is>
      </c>
      <c r="B8" s="3" t="inlineStr">
        <is>
          <t>AC</t>
        </is>
      </c>
      <c r="C8" s="4" t="n">
        <v>18125598.94</v>
      </c>
      <c r="D8" s="4" t="n">
        <v>18992010.19</v>
      </c>
      <c r="E8" s="4" t="n">
        <v>17131537.89</v>
      </c>
      <c r="F8" s="4" t="n">
        <v>14769563.86</v>
      </c>
    </row>
    <row r="9">
      <c r="A9" s="2" t="inlineStr">
        <is>
          <t>Outros Ativos CP</t>
        </is>
      </c>
      <c r="B9" s="3" t="inlineStr">
        <is>
          <t>AC</t>
        </is>
      </c>
      <c r="C9" s="4" t="n">
        <v>51471.92</v>
      </c>
      <c r="D9" s="4" t="n">
        <v>87256.83</v>
      </c>
      <c r="E9" s="4" t="n">
        <v>76854.45</v>
      </c>
      <c r="F9" s="4" t="n">
        <v>61892.85</v>
      </c>
    </row>
    <row r="10">
      <c r="A10" s="2" t="inlineStr">
        <is>
          <t>Investimentos</t>
        </is>
      </c>
      <c r="B10" s="3" t="inlineStr">
        <is>
          <t>ANC</t>
        </is>
      </c>
      <c r="C10" s="4" t="n">
        <v>49203.28</v>
      </c>
      <c r="D10" s="4" t="n">
        <v>49203.28</v>
      </c>
      <c r="E10" s="4" t="n">
        <v>49203.28</v>
      </c>
      <c r="F10" s="4" t="n">
        <v>49203.28</v>
      </c>
    </row>
    <row r="11">
      <c r="A11" s="2" t="inlineStr">
        <is>
          <t>Imobilizado</t>
        </is>
      </c>
      <c r="B11" s="3" t="inlineStr">
        <is>
          <t>ANC</t>
        </is>
      </c>
      <c r="C11" s="4" t="n">
        <v>2500209.74</v>
      </c>
      <c r="D11" s="4" t="n">
        <v>2495244.3</v>
      </c>
      <c r="E11" s="4" t="n">
        <v>2879845.51</v>
      </c>
      <c r="F11" s="4" t="n">
        <v>3168081.99</v>
      </c>
    </row>
    <row r="12">
      <c r="A12" s="2" t="inlineStr">
        <is>
          <t>Intangível</t>
        </is>
      </c>
      <c r="B12" s="3" t="inlineStr">
        <is>
          <t>ANC</t>
        </is>
      </c>
      <c r="C12" s="4" t="n">
        <v>53268.54</v>
      </c>
      <c r="D12" s="4" t="n">
        <v>57173.74</v>
      </c>
      <c r="E12" s="4" t="n">
        <v>54606.27</v>
      </c>
      <c r="F12" s="4" t="n">
        <v>61599.2</v>
      </c>
    </row>
    <row r="13">
      <c r="A13" s="2" t="inlineStr">
        <is>
          <t>Fornecedores</t>
        </is>
      </c>
      <c r="B13" s="3" t="inlineStr">
        <is>
          <t>PC</t>
        </is>
      </c>
      <c r="C13" s="4" t="n">
        <v>15660070.23</v>
      </c>
      <c r="D13" s="4" t="n">
        <v>17453267.62</v>
      </c>
      <c r="E13" s="4" t="n">
        <v>12896540.95</v>
      </c>
      <c r="F13" s="4" t="n">
        <v>11348547.49</v>
      </c>
    </row>
    <row r="14">
      <c r="A14" s="2" t="inlineStr">
        <is>
          <t>Empréstimos CP</t>
        </is>
      </c>
      <c r="B14" s="3" t="inlineStr">
        <is>
          <t>PC</t>
        </is>
      </c>
      <c r="C14" s="4" t="n">
        <v>2854330.19</v>
      </c>
      <c r="D14" s="4" t="n">
        <v>2692833.16</v>
      </c>
      <c r="E14" s="4" t="n">
        <v>2515709.37</v>
      </c>
      <c r="F14" s="4" t="n">
        <v>2414789.02</v>
      </c>
    </row>
    <row r="15">
      <c r="A15" s="2" t="inlineStr">
        <is>
          <t>Obrigações Fiscais</t>
        </is>
      </c>
      <c r="B15" s="3" t="inlineStr">
        <is>
          <t>PC</t>
        </is>
      </c>
      <c r="C15" s="4" t="n">
        <v>775772.5699999999</v>
      </c>
      <c r="D15" s="4" t="n">
        <v>398874.7</v>
      </c>
      <c r="E15" s="4" t="n">
        <v>744986.4399999999</v>
      </c>
      <c r="F15" s="4" t="n">
        <v>1825078.1</v>
      </c>
    </row>
    <row r="16">
      <c r="A16" s="2" t="inlineStr">
        <is>
          <t>Obrigações Trabalhistas</t>
        </is>
      </c>
      <c r="B16" s="3" t="inlineStr">
        <is>
          <t>PC</t>
        </is>
      </c>
      <c r="C16" s="4" t="n">
        <v>135719.37</v>
      </c>
      <c r="D16" s="4" t="n">
        <v>158542.64</v>
      </c>
      <c r="E16" s="4" t="n">
        <v>162850.62</v>
      </c>
      <c r="F16" s="4" t="n">
        <v>156540.09</v>
      </c>
    </row>
    <row r="17">
      <c r="A17" s="2" t="inlineStr">
        <is>
          <t>Outras Obrigações</t>
        </is>
      </c>
      <c r="B17" s="3" t="inlineStr">
        <is>
          <t>PC</t>
        </is>
      </c>
      <c r="C17" s="4" t="n">
        <v>1447780.25</v>
      </c>
      <c r="D17" s="4" t="n">
        <v>1626136.18</v>
      </c>
      <c r="E17" s="4" t="n">
        <v>1475389.51</v>
      </c>
      <c r="F17" s="4" t="n">
        <v>1710951.5</v>
      </c>
    </row>
    <row r="18">
      <c r="A18" s="2" t="inlineStr">
        <is>
          <t>Empréstimos LP</t>
        </is>
      </c>
      <c r="B18" s="3" t="inlineStr">
        <is>
          <t>PNC</t>
        </is>
      </c>
      <c r="C18" s="4" t="n">
        <v>5046126.11</v>
      </c>
      <c r="D18" s="4" t="n">
        <v>5046126.11</v>
      </c>
      <c r="E18" s="4" t="n">
        <v>5046126.11</v>
      </c>
      <c r="F18" s="4" t="n">
        <v>5046126.11</v>
      </c>
    </row>
    <row r="19">
      <c r="A19" s="2" t="inlineStr">
        <is>
          <t>Capital Social</t>
        </is>
      </c>
      <c r="B19" s="3" t="inlineStr">
        <is>
          <t>PL</t>
        </is>
      </c>
      <c r="C19" s="4" t="n">
        <v>3200000</v>
      </c>
      <c r="D19" s="4" t="n">
        <v>3200000</v>
      </c>
      <c r="E19" s="4" t="n">
        <v>3200000</v>
      </c>
      <c r="F19" s="4" t="n">
        <v>3200000</v>
      </c>
    </row>
    <row r="20">
      <c r="A20" s="2" t="inlineStr">
        <is>
          <t>Reservas</t>
        </is>
      </c>
      <c r="B20" s="3" t="inlineStr">
        <is>
          <t>PL</t>
        </is>
      </c>
      <c r="C20" s="4" t="n">
        <v>15456685.38</v>
      </c>
      <c r="D20" s="4" t="n">
        <v>15456685.38</v>
      </c>
      <c r="E20" s="4" t="n">
        <v>15456685.38</v>
      </c>
      <c r="F20" s="4" t="n">
        <v>15456685.38</v>
      </c>
    </row>
    <row r="21">
      <c r="A21" s="2" t="inlineStr">
        <is>
          <t>Lucros/Prejuízos Acumulados</t>
        </is>
      </c>
      <c r="B21" s="3" t="inlineStr">
        <is>
          <t>PL</t>
        </is>
      </c>
      <c r="C21" s="4" t="n">
        <v>-12912.55</v>
      </c>
      <c r="D21" s="4" t="n">
        <v>-49118.4</v>
      </c>
      <c r="E21" s="4" t="n">
        <v>-319283.75</v>
      </c>
      <c r="F21" s="4" t="n">
        <v>-319283.75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Indicador</t>
        </is>
      </c>
      <c r="B1" s="1" t="inlineStr">
        <is>
          <t>jan/26</t>
        </is>
      </c>
      <c r="C1" s="1" t="inlineStr">
        <is>
          <t>fev/26</t>
        </is>
      </c>
      <c r="D1" s="1" t="inlineStr">
        <is>
          <t>mar/26</t>
        </is>
      </c>
      <c r="E1" s="1" t="inlineStr">
        <is>
          <t>abr/26</t>
        </is>
      </c>
    </row>
    <row r="2">
      <c r="A2" s="2" t="inlineStr">
        <is>
          <t>Liquidez Imediata</t>
        </is>
      </c>
      <c r="B2" s="8" t="n">
        <v>0.2277</v>
      </c>
      <c r="C2" s="8" t="n">
        <v>0.1733</v>
      </c>
      <c r="D2" s="8" t="n">
        <v>0.1559</v>
      </c>
      <c r="E2" s="8" t="n">
        <v>0.2632</v>
      </c>
    </row>
    <row r="3">
      <c r="A3" s="2" t="inlineStr">
        <is>
          <t>Liquidez Corrente</t>
        </is>
      </c>
      <c r="B3" s="8" t="n">
        <v>2.0102</v>
      </c>
      <c r="C3" s="8" t="n">
        <v>1.9427</v>
      </c>
      <c r="D3" s="8" t="n">
        <v>2.1464</v>
      </c>
      <c r="E3" s="8" t="n">
        <v>2.1158</v>
      </c>
    </row>
    <row r="4">
      <c r="A4" s="2" t="inlineStr">
        <is>
          <t>Liquidez Geral</t>
        </is>
      </c>
      <c r="B4" s="8" t="n">
        <v>1.7193</v>
      </c>
      <c r="C4" s="8" t="n">
        <v>1.6796</v>
      </c>
      <c r="D4" s="8" t="n">
        <v>1.8028</v>
      </c>
      <c r="E4" s="8" t="n">
        <v>1.787</v>
      </c>
    </row>
    <row r="5">
      <c r="A5" s="2" t="inlineStr">
        <is>
          <t>NCG</t>
        </is>
      </c>
      <c r="B5" s="9" t="n">
        <v>17553782.67</v>
      </c>
      <c r="C5" s="9" t="n">
        <v>17940067.8</v>
      </c>
      <c r="D5" s="9" t="n">
        <v>17975065.32</v>
      </c>
      <c r="E5" s="9" t="n">
        <v>14199710.7</v>
      </c>
    </row>
    <row r="6">
      <c r="A6" s="2" t="inlineStr">
        <is>
          <t>CDG</t>
        </is>
      </c>
      <c r="B6" s="9" t="n">
        <v>21087217.38</v>
      </c>
      <c r="C6" s="9" t="n">
        <v>21052071.77</v>
      </c>
      <c r="D6" s="9" t="n">
        <v>20399872.68</v>
      </c>
      <c r="E6" s="9" t="n">
        <v>20399872.68</v>
      </c>
    </row>
    <row r="7">
      <c r="A7" s="2" t="inlineStr">
        <is>
          <t>Grau de Endividamento</t>
        </is>
      </c>
      <c r="B7" s="10" t="n">
        <v>0.5816</v>
      </c>
      <c r="C7" s="10" t="n">
        <v>0.5954</v>
      </c>
      <c r="D7" s="10" t="n">
        <v>0.5547</v>
      </c>
      <c r="E7" s="10" t="n">
        <v>0.5596</v>
      </c>
    </row>
    <row r="8">
      <c r="A8" s="2" t="inlineStr">
        <is>
          <t>PMR (dias)</t>
        </is>
      </c>
      <c r="B8" s="11" t="n">
        <v>39.5</v>
      </c>
      <c r="C8" s="11" t="n">
        <v>41.98</v>
      </c>
      <c r="D8" s="11" t="n">
        <v>40.9</v>
      </c>
      <c r="E8" s="11" t="n">
        <v>33.45</v>
      </c>
    </row>
    <row r="9">
      <c r="A9" s="2" t="inlineStr">
        <is>
          <t>PMP (dias)</t>
        </is>
      </c>
      <c r="B9" s="11" t="n">
        <v>56.89</v>
      </c>
      <c r="C9" s="11" t="n">
        <v>62.95</v>
      </c>
      <c r="D9" s="11" t="n">
        <v>52.75</v>
      </c>
      <c r="E9" s="11" t="n">
        <v>41.64</v>
      </c>
    </row>
    <row r="10">
      <c r="A10" s="2" t="inlineStr">
        <is>
          <t>PME (dias)</t>
        </is>
      </c>
      <c r="B10" s="11" t="n">
        <v>65.84</v>
      </c>
      <c r="C10" s="11" t="n">
        <v>68.5</v>
      </c>
      <c r="D10" s="11" t="n">
        <v>70.06999999999999</v>
      </c>
      <c r="E10" s="11" t="n">
        <v>54.19</v>
      </c>
    </row>
    <row r="11">
      <c r="A11" s="2" t="inlineStr">
        <is>
          <t>Ciclo Operacional (dias)</t>
        </is>
      </c>
      <c r="B11" s="11" t="n">
        <v>105.34</v>
      </c>
      <c r="C11" s="11" t="n">
        <v>110.48</v>
      </c>
      <c r="D11" s="11" t="n">
        <v>110.97</v>
      </c>
      <c r="E11" s="11" t="n">
        <v>87.64</v>
      </c>
    </row>
    <row r="12">
      <c r="A12" s="2" t="inlineStr">
        <is>
          <t>Ciclo Financeiro (dias)</t>
        </is>
      </c>
      <c r="B12" s="11" t="n">
        <v>48.46</v>
      </c>
      <c r="C12" s="11" t="n">
        <v>47.53</v>
      </c>
      <c r="D12" s="11" t="n">
        <v>58.22</v>
      </c>
      <c r="E12" s="11" t="n">
        <v>46</v>
      </c>
    </row>
    <row r="13">
      <c r="A13" s="2" t="inlineStr">
        <is>
          <t>Giro dos Ativos</t>
        </is>
      </c>
      <c r="B13" s="8" t="n">
        <v>0.2868</v>
      </c>
      <c r="C13" s="8" t="n">
        <v>0.277</v>
      </c>
      <c r="D13" s="8" t="n">
        <v>0.2736</v>
      </c>
      <c r="E13" s="8" t="n">
        <v>0.304</v>
      </c>
    </row>
    <row r="14">
      <c r="A14" s="2" t="inlineStr">
        <is>
          <t>Giro dos Estoques</t>
        </is>
      </c>
      <c r="B14" s="8" t="n">
        <v>0.4556</v>
      </c>
      <c r="C14" s="8" t="n">
        <v>0.4379</v>
      </c>
      <c r="D14" s="8" t="n">
        <v>0.4281</v>
      </c>
      <c r="E14" s="8" t="n">
        <v>0.5536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Como atualizar este arquivo</t>
        </is>
      </c>
    </row>
    <row r="2">
      <c r="A2" s="13" t="inlineStr"/>
    </row>
    <row r="3">
      <c r="A3" s="13" t="inlineStr">
        <is>
          <t>1. Para incluir um novo mês: adicione uma nova COLUNA no formato "mai/26" (ex.: G).</t>
        </is>
      </c>
    </row>
    <row r="4">
      <c r="A4" s="13" t="inlineStr">
        <is>
          <t>2. Preencha os valores em cada uma das abas: DRE, Balanco, Indicadores.</t>
        </is>
      </c>
    </row>
    <row r="5">
      <c r="A5" s="13" t="inlineStr">
        <is>
          <t>3. Mantenha a coluna "Bloco" (DRE) e "Grupo" (Balanço) com os mesmos rótulos.</t>
        </is>
      </c>
    </row>
    <row r="6">
      <c r="A6" s="13" t="inlineStr">
        <is>
          <t>4. Não renomeie as abas — o app procura por: DRE, Balanco, Indicadores.</t>
        </is>
      </c>
    </row>
    <row r="7">
      <c r="A7" s="13" t="inlineStr">
        <is>
          <t>5. Salve o arquivo como "dados_mensais.xlsx" e mantenha-o em ./dados/</t>
        </is>
      </c>
    </row>
    <row r="8">
      <c r="A8" s="13" t="inlineStr"/>
    </row>
    <row r="9">
      <c r="A9" s="13">
        <f>= Rótulos válidos ==</f>
        <v/>
      </c>
    </row>
    <row r="10">
      <c r="A10" s="13" t="inlineStr">
        <is>
          <t>DRE.Bloco: TOPLINE, DEDUC, IMPOSTOS, LIQUIDA, OUTRAS, CMV, MG1, OUTROS, RES_BRUTO, COMERCIAL, LOGISTICA, ADM, EBITDA, REC_FIN, DESP_FIN, LUCRO</t>
        </is>
      </c>
    </row>
    <row r="11">
      <c r="A11" s="13" t="inlineStr">
        <is>
          <t>Balanco.Grupo: AC (Ativo Circulante), ANC (Ativo Não Circ.), PC (Passivo Circ.), PNC (Passivo Não Circ.), PL (Patrimônio Líquido)</t>
        </is>
      </c>
    </row>
    <row r="12">
      <c r="A12" s="13" t="inlineStr"/>
    </row>
    <row r="13">
      <c r="A13" s="13" t="inlineStr">
        <is>
          <t>O app calculará automaticamente:</t>
        </is>
      </c>
    </row>
    <row r="14">
      <c r="A14" s="13" t="inlineStr">
        <is>
          <t xml:space="preserve">   • Total Ativo / Passivo / PL</t>
        </is>
      </c>
    </row>
    <row r="15">
      <c r="A15" s="13" t="inlineStr">
        <is>
          <t xml:space="preserve">   • Margens (1, Bruta, EBITDA, Líquida) sobre a Receita Líquida (base Excel)</t>
        </is>
      </c>
    </row>
    <row r="16">
      <c r="A16" s="13" t="inlineStr">
        <is>
          <t xml:space="preserve">   • Variações e tendências entre meses</t>
        </is>
      </c>
    </row>
    <row r="17">
      <c r="A17" s="13" t="inlineStr">
        <is>
          <t xml:space="preserve">   • Gráficos atualizados em tempo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2026-05-13T18:50:32Z</dcterms:created>
  <dcterms:modified xmlns:dcterms="http://purl.org/dc/terms/" xmlns:xsi="http://www.w3.org/2001/XMLSchema-instance" xsi:type="dcterms:W3CDTF">2026-05-14T11:17:06Z</dcterms:modified>
</cp:coreProperties>
</file>